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range lab La cite\Downloads\"/>
    </mc:Choice>
  </mc:AlternateContent>
  <xr:revisionPtr revIDLastSave="0" documentId="13_ncr:1_{6E002ECD-DB72-48DC-BB04-517D1C0CA29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الزيارات" sheetId="1" r:id="rId1"/>
  </sheets>
  <calcPr calcId="181029"/>
</workbook>
</file>

<file path=xl/calcChain.xml><?xml version="1.0" encoding="utf-8"?>
<calcChain xmlns="http://schemas.openxmlformats.org/spreadsheetml/2006/main">
  <c r="R14" i="1" l="1"/>
  <c r="Q14" i="1"/>
  <c r="P14" i="1"/>
  <c r="O14" i="1"/>
</calcChain>
</file>

<file path=xl/sharedStrings.xml><?xml version="1.0" encoding="utf-8"?>
<sst xmlns="http://schemas.openxmlformats.org/spreadsheetml/2006/main" count="157" uniqueCount="107">
  <si>
    <t>🟠 Orange Lab Home Visit — فرع La Cite — يونيو 2026</t>
  </si>
  <si>
    <t>إجمالي: 10 زيارة  |  تمت: 8  |  مجدولة: 2  |  تاريخ التصدير: 2026-06-20</t>
  </si>
  <si>
    <t>رقم الزيارة</t>
  </si>
  <si>
    <t>تاريخ الإنشاء</t>
  </si>
  <si>
    <t>الاسم</t>
  </si>
  <si>
    <t>السن</t>
  </si>
  <si>
    <t>الوحدة</t>
  </si>
  <si>
    <t>التليفون</t>
  </si>
  <si>
    <t>تاريخ الزيارة</t>
  </si>
  <si>
    <t>الوقت</t>
  </si>
  <si>
    <t>الدكتور</t>
  </si>
  <si>
    <t>الفرع</t>
  </si>
  <si>
    <t>العنوان</t>
  </si>
  <si>
    <t>رابط الموقع</t>
  </si>
  <si>
    <t>التحاليل</t>
  </si>
  <si>
    <t>ملاحظات</t>
  </si>
  <si>
    <t>السعر قبل الخصم</t>
  </si>
  <si>
    <t>السعر بعد الخصم</t>
  </si>
  <si>
    <t>بدل الانتقال</t>
  </si>
  <si>
    <t>الإجمالي</t>
  </si>
  <si>
    <t>الحالة</t>
  </si>
  <si>
    <t>1781548767344</t>
  </si>
  <si>
    <t>2026-06-15T18:39:27.344173</t>
  </si>
  <si>
    <t>فدوة مازن</t>
  </si>
  <si>
    <t>سنة</t>
  </si>
  <si>
    <t>01019156765</t>
  </si>
  <si>
    <t>2026-06-15</t>
  </si>
  <si>
    <t>11:00 AM</t>
  </si>
  <si>
    <t>حسين علي</t>
  </si>
  <si>
    <t>La Cite</t>
  </si>
  <si>
    <t xml:space="preserve">الحي الاول - مجاورة 1 - عمارة 22 - شقة </t>
  </si>
  <si>
    <t xml:space="preserve"> https://maps.app.goo.gl/1EUVwd1tApWcFqMT7</t>
  </si>
  <si>
    <t>VITAMIN d</t>
  </si>
  <si>
    <t>الحساب خالص بالزيارة</t>
  </si>
  <si>
    <t>تمت</t>
  </si>
  <si>
    <t>1781549085705</t>
  </si>
  <si>
    <t>2026-06-15T18:44:45.705932</t>
  </si>
  <si>
    <t>اليكسندر محمد</t>
  </si>
  <si>
    <t>01555243388</t>
  </si>
  <si>
    <t>11:30 AM</t>
  </si>
  <si>
    <t>حدايق اكتوبر كومباوند صن كابيتال c83 شقه 15 بوابه 4</t>
  </si>
  <si>
    <t>https://maps.app.goo.gl/ArdPyfHGYV5yeaTw6</t>
  </si>
  <si>
    <t>PT — 180 جنيه</t>
  </si>
  <si>
    <t>1781521438912</t>
  </si>
  <si>
    <t>2026-06-15T11:03:58.912548</t>
  </si>
  <si>
    <t>ايه سمير</t>
  </si>
  <si>
    <t>01283237335</t>
  </si>
  <si>
    <t>5:00 PM</t>
  </si>
  <si>
    <t>محمد شفيق</t>
  </si>
  <si>
    <t>سكن مصر اكتوبر الجديده عماره ٩٣ شقه ١٤</t>
  </si>
  <si>
    <t>https://maps.app.goo.gl/KuVn7JAPdmpzUY5j7</t>
  </si>
  <si>
    <t>pregnancy test</t>
  </si>
  <si>
    <t>1781549298777</t>
  </si>
  <si>
    <t>2026-06-15T18:48:18.777821</t>
  </si>
  <si>
    <t>فتحي عبد السميع الغول</t>
  </si>
  <si>
    <t>01100559045</t>
  </si>
  <si>
    <t>2026-06-16</t>
  </si>
  <si>
    <t>10:00 AM</t>
  </si>
  <si>
    <t>طريق مصر اسكندرية - الكيلو 2.5 - مدخل ابو رواش المنصورية</t>
  </si>
  <si>
    <t>https://maps.app.goo.gl/g1sw94Vqo6LfTobP9</t>
  </si>
  <si>
    <t>FULL Check up</t>
  </si>
  <si>
    <t>1781550455392</t>
  </si>
  <si>
    <t>2026-06-15T19:07:35.392550</t>
  </si>
  <si>
    <t>اماني عبد الرحمن</t>
  </si>
  <si>
    <t>01020377211</t>
  </si>
  <si>
    <t>حي البشاير - عمارة 55 - شقة 102</t>
  </si>
  <si>
    <t>https://maps.app.goo.gl/eH3n14UxJnrecqEE6</t>
  </si>
  <si>
    <t>روشتة</t>
  </si>
  <si>
    <t xml:space="preserve">روشتة
</t>
  </si>
  <si>
    <t>1781644759395</t>
  </si>
  <si>
    <t>2026-06-16T21:19:19.395901</t>
  </si>
  <si>
    <t>زوجة سامح السيد</t>
  </si>
  <si>
    <t>01119088023</t>
  </si>
  <si>
    <t>12:00 PM</t>
  </si>
  <si>
    <t>الحى الخامس ميدان فودافون عند بنك البركة الشارع اللي جانبة عمارة ١٩٩ شقة ١١ الدور الخامس</t>
  </si>
  <si>
    <t>https://maps.app.goo.gl/f5K2bFutesaNqDVn6</t>
  </si>
  <si>
    <t>1781606353162</t>
  </si>
  <si>
    <t>2026-06-16T10:39:13.162540</t>
  </si>
  <si>
    <t>نجمه</t>
  </si>
  <si>
    <t>01055333724</t>
  </si>
  <si>
    <t>2:00 PM</t>
  </si>
  <si>
    <t>الحي الخامس مجاوره تانيه عماره ٨١ شقه٩ الدور رابع</t>
  </si>
  <si>
    <t>https://maps.app.goo.gl/dZC5vxThxmau6Xca8</t>
  </si>
  <si>
    <t xml:space="preserve">Cbc
AST/ALT
Urea/creat.e GFR
Albumin 
serum calcium(total and ionized)
Parathyroid hormone(PTH)
Serum phosphate 
Magnisium 
VitaminD check up. 
   Potassium 
FT3
FT4
TSH
</t>
  </si>
  <si>
    <t>1781942058741</t>
  </si>
  <si>
    <t>2026-06-20T07:54:18.741835</t>
  </si>
  <si>
    <t>2026-06-20</t>
  </si>
  <si>
    <t>1:00 PM</t>
  </si>
  <si>
    <t>1781957932867</t>
  </si>
  <si>
    <t>2026-06-20T12:18:52.867601</t>
  </si>
  <si>
    <t>نجوي احمد ابو النصر</t>
  </si>
  <si>
    <t>01113937111</t>
  </si>
  <si>
    <t>2026-06-21</t>
  </si>
  <si>
    <t xml:space="preserve">الحي الخامس - عقد ثاني - عمارة 900 - حضانة ABC </t>
  </si>
  <si>
    <t>https://maps.app.goo.gl/9a4rRq5buQvxKGeT8?g_st=ac</t>
  </si>
  <si>
    <t xml:space="preserve">الحساب خالص عند دكتورة داليا
</t>
  </si>
  <si>
    <t>مجدولة</t>
  </si>
  <si>
    <t>1781957671688</t>
  </si>
  <si>
    <t>2026-06-20T12:14:31.688960</t>
  </si>
  <si>
    <t>اماندا فاروق</t>
  </si>
  <si>
    <t>01008443434</t>
  </si>
  <si>
    <t>الشيخ زايد- كمبوند زايد 2000- عمارة 408 - الدور الرابع - شقة 10</t>
  </si>
  <si>
    <t>https://maps.app.goo.gl/6tJ9q3VkVppCPtcLA?g_st=ac</t>
  </si>
  <si>
    <t>Iron (Serum) — 320 جنيه
Ferritin — 400 جنيه
TIBC — 440 جنيه
CBC — 400 جنيه</t>
  </si>
  <si>
    <t>📊 الإجمالي الكلي</t>
  </si>
  <si>
    <t>تمت: 8  |  مجدولة: 2</t>
  </si>
  <si>
    <t>10 زيارة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</si>
</sst>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ج&quot;"/>
  </numFmts>
  <fonts count="7">
    <font>
      <sz val="11"/>
      <color theme="1"/>
      <name val="Calibri"/>
      <family val="2"/>
      <scheme val="minor"/>
    </font>
    <font>
      <b/>
      <sz val="14"/>
      <color rgb="FFFFFFFF"/>
      <name val="Cairo"/>
    </font>
    <font>
      <b/>
      <sz val="10"/>
      <color rgb="FFFF6B00"/>
      <name val="Cairo"/>
    </font>
    <font>
      <b/>
      <sz val="11"/>
      <color rgb="FFFFFFFF"/>
      <name val="Cairo"/>
    </font>
    <font>
      <sz val="10"/>
      <name val="Cairo"/>
    </font>
    <font>
      <b/>
      <sz val="11"/>
      <color rgb="FFFF6B00"/>
      <name val="Cairo"/>
    </font>
    <font>
      <b/>
      <sz val="10"/>
      <color rgb="FF333333"/>
      <name val="Cairo"/>
    </font>
  </fonts>
  <fills count="7">
    <fill>
      <patternFill patternType="none"/>
    </fill>
    <fill>
      <patternFill patternType="gray125"/>
    </fill>
    <fill>
      <patternFill patternType="solid">
        <fgColor rgb="FFFF6B00"/>
      </patternFill>
    </fill>
    <fill>
      <patternFill patternType="solid">
        <fgColor rgb="FFFFF3E8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FE0C0"/>
      </patternFill>
    </fill>
  </fills>
  <borders count="2">
    <border>
      <left/>
      <right/>
      <top/>
      <bottom/>
      <diagonal/>
    </border>
    <border>
      <left style="thin">
        <color rgb="FFFFBB80"/>
      </left>
      <right style="thin">
        <color rgb="FFFFBB80"/>
      </right>
      <top style="thin">
        <color rgb="FFFFBB80"/>
      </top>
      <bottom style="thin">
        <color rgb="FFFFBB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rightToLeft="1" tabSelected="1" topLeftCell="H1" workbookViewId="0">
      <pane ySplit="3" topLeftCell="A4" activePane="bottomLeft" state="frozen"/>
      <selection pane="bottomLeft" activeCell="G3" sqref="G1:G1048576"/>
    </sheetView>
  </sheetViews>
  <sheetFormatPr defaultRowHeight="15"/>
  <cols>
    <col min="1" max="1" width="24.85546875" customWidth="1"/>
    <col min="2" max="2" width="15.28515625" customWidth="1"/>
    <col min="3" max="3" width="13.85546875" customWidth="1"/>
    <col min="4" max="4" width="23.5703125" customWidth="1"/>
    <col min="5" max="5" width="19" customWidth="1"/>
    <col min="6" max="6" width="12.7109375" customWidth="1"/>
    <col min="7" max="7" width="10.7109375" customWidth="1"/>
    <col min="8" max="8" width="20.42578125" customWidth="1"/>
    <col min="9" max="9" width="14.7109375" customWidth="1"/>
    <col min="10" max="10" width="18.28515625" customWidth="1"/>
    <col min="11" max="11" width="38" customWidth="1"/>
    <col min="12" max="12" width="12.42578125" customWidth="1"/>
    <col min="13" max="13" width="11" customWidth="1"/>
    <col min="14" max="14" width="14.28515625" customWidth="1"/>
    <col min="15" max="15" width="9.85546875" customWidth="1"/>
    <col min="16" max="16" width="11.5703125" customWidth="1"/>
    <col min="17" max="17" width="7.7109375" customWidth="1"/>
    <col min="18" max="18" width="9.5703125" customWidth="1"/>
    <col min="19" max="19" width="8" customWidth="1"/>
  </cols>
  <sheetData>
    <row r="1" spans="1:19" ht="36" customHeight="1">
      <c r="A1" s="1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21.95" customHeight="1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27.9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ht="20.100000000000001" customHeight="1">
      <c r="A4" s="2" t="s">
        <v>21</v>
      </c>
      <c r="B4" s="2" t="s">
        <v>22</v>
      </c>
      <c r="C4" s="2" t="s">
        <v>23</v>
      </c>
      <c r="D4" s="2">
        <v>28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3">
        <v>0</v>
      </c>
      <c r="P4" s="3">
        <v>0</v>
      </c>
      <c r="Q4" s="3">
        <v>100</v>
      </c>
      <c r="R4" s="3">
        <v>100</v>
      </c>
      <c r="S4" s="2" t="s">
        <v>34</v>
      </c>
    </row>
    <row r="5" spans="1:19" ht="20.100000000000001" customHeight="1">
      <c r="A5" s="2" t="s">
        <v>35</v>
      </c>
      <c r="B5" s="2" t="s">
        <v>36</v>
      </c>
      <c r="C5" s="2" t="s">
        <v>37</v>
      </c>
      <c r="D5" s="2">
        <v>0</v>
      </c>
      <c r="E5" s="2" t="s">
        <v>24</v>
      </c>
      <c r="F5" s="2" t="s">
        <v>38</v>
      </c>
      <c r="G5" s="2" t="s">
        <v>26</v>
      </c>
      <c r="H5" s="2" t="s">
        <v>39</v>
      </c>
      <c r="I5" s="2" t="s">
        <v>28</v>
      </c>
      <c r="J5" s="2" t="s">
        <v>29</v>
      </c>
      <c r="K5" s="2" t="s">
        <v>40</v>
      </c>
      <c r="L5" s="2" t="s">
        <v>41</v>
      </c>
      <c r="M5" s="2" t="s">
        <v>42</v>
      </c>
      <c r="N5" s="2"/>
      <c r="O5" s="3">
        <v>180</v>
      </c>
      <c r="P5" s="3">
        <v>180</v>
      </c>
      <c r="Q5" s="3">
        <v>400</v>
      </c>
      <c r="R5" s="3">
        <v>580</v>
      </c>
      <c r="S5" s="2" t="s">
        <v>34</v>
      </c>
    </row>
    <row r="6" spans="1:19" ht="20.100000000000001" customHeight="1">
      <c r="A6" s="2" t="s">
        <v>43</v>
      </c>
      <c r="B6" s="2" t="s">
        <v>44</v>
      </c>
      <c r="C6" s="2" t="s">
        <v>45</v>
      </c>
      <c r="D6" s="2">
        <v>29</v>
      </c>
      <c r="E6" s="2" t="s">
        <v>24</v>
      </c>
      <c r="F6" s="2" t="s">
        <v>46</v>
      </c>
      <c r="G6" s="2" t="s">
        <v>26</v>
      </c>
      <c r="H6" s="2" t="s">
        <v>47</v>
      </c>
      <c r="I6" s="2" t="s">
        <v>48</v>
      </c>
      <c r="J6" s="2" t="s">
        <v>29</v>
      </c>
      <c r="K6" s="2" t="s">
        <v>49</v>
      </c>
      <c r="L6" s="2" t="s">
        <v>50</v>
      </c>
      <c r="M6" s="2" t="s">
        <v>51</v>
      </c>
      <c r="N6" s="2"/>
      <c r="O6" s="3">
        <v>170</v>
      </c>
      <c r="P6" s="3">
        <v>170</v>
      </c>
      <c r="Q6" s="3">
        <v>100</v>
      </c>
      <c r="R6" s="3">
        <v>270</v>
      </c>
      <c r="S6" s="2" t="s">
        <v>34</v>
      </c>
    </row>
    <row r="7" spans="1:19" ht="20.100000000000001" customHeight="1">
      <c r="A7" s="2" t="s">
        <v>52</v>
      </c>
      <c r="B7" s="2" t="s">
        <v>53</v>
      </c>
      <c r="C7" s="2" t="s">
        <v>54</v>
      </c>
      <c r="D7" s="2">
        <v>35</v>
      </c>
      <c r="E7" s="2" t="s">
        <v>24</v>
      </c>
      <c r="F7" s="2" t="s">
        <v>55</v>
      </c>
      <c r="G7" s="2" t="s">
        <v>56</v>
      </c>
      <c r="H7" s="2" t="s">
        <v>57</v>
      </c>
      <c r="I7" s="2" t="s">
        <v>28</v>
      </c>
      <c r="J7" s="2" t="s">
        <v>29</v>
      </c>
      <c r="K7" s="2" t="s">
        <v>58</v>
      </c>
      <c r="L7" s="2" t="s">
        <v>59</v>
      </c>
      <c r="M7" s="2" t="s">
        <v>60</v>
      </c>
      <c r="N7" s="2"/>
      <c r="O7" s="3">
        <v>4600</v>
      </c>
      <c r="P7" s="3">
        <v>4600</v>
      </c>
      <c r="Q7" s="3">
        <v>350</v>
      </c>
      <c r="R7" s="3">
        <v>4950</v>
      </c>
      <c r="S7" s="2" t="s">
        <v>34</v>
      </c>
    </row>
    <row r="8" spans="1:19" ht="20.100000000000001" customHeight="1">
      <c r="A8" s="2" t="s">
        <v>61</v>
      </c>
      <c r="B8" s="2" t="s">
        <v>62</v>
      </c>
      <c r="C8" s="2" t="s">
        <v>63</v>
      </c>
      <c r="D8" s="2">
        <v>43</v>
      </c>
      <c r="E8" s="2" t="s">
        <v>24</v>
      </c>
      <c r="F8" s="2" t="s">
        <v>64</v>
      </c>
      <c r="G8" s="2" t="s">
        <v>56</v>
      </c>
      <c r="H8" s="2" t="s">
        <v>27</v>
      </c>
      <c r="I8" s="2" t="s">
        <v>28</v>
      </c>
      <c r="J8" s="2" t="s">
        <v>29</v>
      </c>
      <c r="K8" s="2" t="s">
        <v>65</v>
      </c>
      <c r="L8" s="2" t="s">
        <v>66</v>
      </c>
      <c r="M8" s="2" t="s">
        <v>67</v>
      </c>
      <c r="N8" s="2" t="s">
        <v>68</v>
      </c>
      <c r="O8" s="3">
        <v>3400</v>
      </c>
      <c r="P8" s="3">
        <v>2900</v>
      </c>
      <c r="Q8" s="3">
        <v>100</v>
      </c>
      <c r="R8" s="3">
        <v>3000</v>
      </c>
      <c r="S8" s="2" t="s">
        <v>34</v>
      </c>
    </row>
    <row r="9" spans="1:19" ht="20.100000000000001" customHeight="1">
      <c r="A9" s="2" t="s">
        <v>69</v>
      </c>
      <c r="B9" s="2" t="s">
        <v>70</v>
      </c>
      <c r="C9" s="2" t="s">
        <v>71</v>
      </c>
      <c r="D9" s="2">
        <v>45</v>
      </c>
      <c r="E9" s="2" t="s">
        <v>24</v>
      </c>
      <c r="F9" s="2" t="s">
        <v>72</v>
      </c>
      <c r="G9" s="2" t="s">
        <v>56</v>
      </c>
      <c r="H9" s="2" t="s">
        <v>73</v>
      </c>
      <c r="I9" s="2" t="s">
        <v>28</v>
      </c>
      <c r="J9" s="2" t="s">
        <v>29</v>
      </c>
      <c r="K9" s="2" t="s">
        <v>74</v>
      </c>
      <c r="L9" s="2" t="s">
        <v>75</v>
      </c>
      <c r="M9" s="2" t="s">
        <v>67</v>
      </c>
      <c r="N9" s="2"/>
      <c r="O9" s="3">
        <v>3300</v>
      </c>
      <c r="P9" s="3">
        <v>2200</v>
      </c>
      <c r="Q9" s="3">
        <v>300</v>
      </c>
      <c r="R9" s="3">
        <v>2500</v>
      </c>
      <c r="S9" s="2" t="s">
        <v>34</v>
      </c>
    </row>
    <row r="10" spans="1:19" ht="20.100000000000001" customHeight="1">
      <c r="A10" s="2" t="s">
        <v>76</v>
      </c>
      <c r="B10" s="2" t="s">
        <v>77</v>
      </c>
      <c r="C10" s="2" t="s">
        <v>78</v>
      </c>
      <c r="D10" s="2">
        <v>35</v>
      </c>
      <c r="E10" s="2" t="s">
        <v>24</v>
      </c>
      <c r="F10" s="2" t="s">
        <v>79</v>
      </c>
      <c r="G10" s="2" t="s">
        <v>56</v>
      </c>
      <c r="H10" s="2" t="s">
        <v>80</v>
      </c>
      <c r="I10" s="2" t="s">
        <v>28</v>
      </c>
      <c r="J10" s="2" t="s">
        <v>29</v>
      </c>
      <c r="K10" s="2" t="s">
        <v>81</v>
      </c>
      <c r="L10" s="2" t="s">
        <v>82</v>
      </c>
      <c r="M10" s="2"/>
      <c r="N10" s="2" t="s">
        <v>83</v>
      </c>
      <c r="O10" s="3">
        <v>4600</v>
      </c>
      <c r="P10" s="3">
        <v>3600</v>
      </c>
      <c r="Q10" s="3">
        <v>100</v>
      </c>
      <c r="R10" s="3">
        <v>3700</v>
      </c>
      <c r="S10" s="2" t="s">
        <v>34</v>
      </c>
    </row>
    <row r="11" spans="1:19" ht="20.100000000000001" customHeight="1">
      <c r="A11" s="2" t="s">
        <v>84</v>
      </c>
      <c r="B11" s="2" t="s">
        <v>85</v>
      </c>
      <c r="C11" s="2" t="s">
        <v>63</v>
      </c>
      <c r="D11" s="2">
        <v>43</v>
      </c>
      <c r="E11" s="2" t="s">
        <v>24</v>
      </c>
      <c r="F11" s="2" t="s">
        <v>64</v>
      </c>
      <c r="G11" s="2" t="s">
        <v>86</v>
      </c>
      <c r="H11" s="2" t="s">
        <v>87</v>
      </c>
      <c r="I11" s="2" t="s">
        <v>28</v>
      </c>
      <c r="J11" s="2" t="s">
        <v>29</v>
      </c>
      <c r="K11" s="2" t="s">
        <v>65</v>
      </c>
      <c r="L11" s="2" t="s">
        <v>66</v>
      </c>
      <c r="M11" s="2" t="s">
        <v>67</v>
      </c>
      <c r="N11" s="2"/>
      <c r="O11" s="3">
        <v>3200</v>
      </c>
      <c r="P11" s="3">
        <v>2600</v>
      </c>
      <c r="Q11" s="3">
        <v>100</v>
      </c>
      <c r="R11" s="3">
        <v>2700</v>
      </c>
      <c r="S11" s="2" t="s">
        <v>34</v>
      </c>
    </row>
    <row r="12" spans="1:19" ht="20.100000000000001" customHeight="1">
      <c r="A12" s="4" t="s">
        <v>88</v>
      </c>
      <c r="B12" s="4" t="s">
        <v>89</v>
      </c>
      <c r="C12" s="4" t="s">
        <v>90</v>
      </c>
      <c r="D12" s="4">
        <v>74</v>
      </c>
      <c r="E12" s="4" t="s">
        <v>24</v>
      </c>
      <c r="F12" s="4" t="s">
        <v>91</v>
      </c>
      <c r="G12" s="4" t="s">
        <v>92</v>
      </c>
      <c r="H12" s="4" t="s">
        <v>73</v>
      </c>
      <c r="I12" s="4" t="s">
        <v>28</v>
      </c>
      <c r="J12" s="4" t="s">
        <v>29</v>
      </c>
      <c r="K12" s="4" t="s">
        <v>93</v>
      </c>
      <c r="L12" s="4" t="s">
        <v>94</v>
      </c>
      <c r="M12" s="4" t="s">
        <v>67</v>
      </c>
      <c r="N12" s="4" t="s">
        <v>95</v>
      </c>
      <c r="O12" s="5">
        <v>4860</v>
      </c>
      <c r="P12" s="5">
        <v>3400</v>
      </c>
      <c r="Q12" s="5">
        <v>100</v>
      </c>
      <c r="R12" s="5">
        <v>3500</v>
      </c>
      <c r="S12" s="4" t="s">
        <v>96</v>
      </c>
    </row>
    <row r="13" spans="1:19" ht="20.100000000000001" customHeight="1">
      <c r="A13" s="4" t="s">
        <v>97</v>
      </c>
      <c r="B13" s="4" t="s">
        <v>98</v>
      </c>
      <c r="C13" s="4" t="s">
        <v>99</v>
      </c>
      <c r="D13" s="4">
        <v>47</v>
      </c>
      <c r="E13" s="4" t="s">
        <v>24</v>
      </c>
      <c r="F13" s="4" t="s">
        <v>100</v>
      </c>
      <c r="G13" s="4" t="s">
        <v>92</v>
      </c>
      <c r="H13" s="4" t="s">
        <v>87</v>
      </c>
      <c r="I13" s="4" t="s">
        <v>28</v>
      </c>
      <c r="J13" s="4" t="s">
        <v>29</v>
      </c>
      <c r="K13" s="4" t="s">
        <v>101</v>
      </c>
      <c r="L13" s="4" t="s">
        <v>102</v>
      </c>
      <c r="M13" s="4" t="s">
        <v>103</v>
      </c>
      <c r="N13" s="4"/>
      <c r="O13" s="5">
        <v>1560</v>
      </c>
      <c r="P13" s="5">
        <v>1250</v>
      </c>
      <c r="Q13" s="5">
        <v>200</v>
      </c>
      <c r="R13" s="5">
        <v>1450</v>
      </c>
      <c r="S13" s="4" t="s">
        <v>96</v>
      </c>
    </row>
    <row r="14" spans="1:19" ht="26.1" customHeight="1">
      <c r="A14" s="8" t="s">
        <v>104</v>
      </c>
      <c r="B14" s="9"/>
      <c r="C14" s="9"/>
      <c r="D14" s="12" t="s">
        <v>105</v>
      </c>
      <c r="E14" s="9"/>
      <c r="F14" s="9"/>
      <c r="G14" s="9"/>
      <c r="H14" s="9"/>
      <c r="I14" s="9"/>
      <c r="J14" s="9"/>
      <c r="K14" s="9"/>
      <c r="L14" s="9"/>
      <c r="M14" s="9"/>
      <c r="O14" s="7">
        <f>SUM(O4:O13)</f>
        <v>25870</v>
      </c>
      <c r="P14" s="7">
        <f>SUM(P4:P13)</f>
        <v>20900</v>
      </c>
      <c r="Q14" s="7">
        <f>SUM(Q4:Q13)</f>
        <v>1850</v>
      </c>
      <c r="R14" s="7">
        <f>SUM(R4:R13)</f>
        <v>22750</v>
      </c>
      <c r="S14" s="6" t="s">
        <v>106</v>
      </c>
    </row>
  </sheetData>
  <mergeCells count="4">
    <mergeCell ref="A14:C14"/>
    <mergeCell ref="A2:S2"/>
    <mergeCell ref="A1:S1"/>
    <mergeCell ref="D14:M14"/>
  </mergeCells>
  <pageMargins left="0.23622047244094491" right="0.23622047244094491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الزيارات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Orange Lab</cp:lastModifiedBy>
  <cp:lastPrinted>2026-06-20T15:06:57Z</cp:lastPrinted>
  <dcterms:created xsi:type="dcterms:W3CDTF">2026-06-20T14:18:50Z</dcterms:created>
  <dcterms:modified xsi:type="dcterms:W3CDTF">2026-06-27T06:01:19Z</dcterms:modified>
</cp:coreProperties>
</file>