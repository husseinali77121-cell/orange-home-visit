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range lab La cite\Downloads\"/>
    </mc:Choice>
  </mc:AlternateContent>
  <xr:revisionPtr revIDLastSave="0" documentId="13_ncr:1_{9C45C416-05D6-4B57-985C-6A7D1B19D53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الزيارات" sheetId="1" r:id="rId1"/>
  </sheets>
  <calcPr calcId="181029"/>
</workbook>
</file>

<file path=xl/calcChain.xml><?xml version="1.0" encoding="utf-8"?>
<calcChain xmlns="http://schemas.openxmlformats.org/spreadsheetml/2006/main">
  <c r="E31" i="1" l="1"/>
  <c r="D31" i="1"/>
  <c r="C31" i="1"/>
  <c r="B31" i="1"/>
</calcChain>
</file>

<file path=xl/sharedStrings.xml><?xml version="1.0" encoding="utf-8"?>
<sst xmlns="http://schemas.openxmlformats.org/spreadsheetml/2006/main" count="214" uniqueCount="137">
  <si>
    <t>🟠 Orange Lab Home Visit — كل الفروع — 2026-05-28 → 2026-06-21</t>
  </si>
  <si>
    <t>إجمالي: 27 زيارة  |  تمت: 24  |  مجدولة: 3  |  تاريخ التصدير: 2026-06-20</t>
  </si>
  <si>
    <t>الحالة</t>
  </si>
  <si>
    <t>الإجمالي</t>
  </si>
  <si>
    <t>بدل الانتقال</t>
  </si>
  <si>
    <t>السعر بعد الخصم</t>
  </si>
  <si>
    <t>السعر قبل الخصم</t>
  </si>
  <si>
    <t>التحاليل</t>
  </si>
  <si>
    <t>العنوان</t>
  </si>
  <si>
    <t>الدكتور</t>
  </si>
  <si>
    <t>تاريخ الزيارة</t>
  </si>
  <si>
    <t>التليفون</t>
  </si>
  <si>
    <t>الاسم</t>
  </si>
  <si>
    <t>تمت</t>
  </si>
  <si>
    <t>روشنة</t>
  </si>
  <si>
    <t>الحي الثامن مجاورة ٢ عمارة ٢٨ الدور الاول شقة رقم ١</t>
  </si>
  <si>
    <t>حسين علي</t>
  </si>
  <si>
    <t>2026-05-31</t>
  </si>
  <si>
    <t>01222632794</t>
  </si>
  <si>
    <t>انس حافظ</t>
  </si>
  <si>
    <t>روشتة</t>
  </si>
  <si>
    <t>كمبوند واحة المهندسين - عمارة 14 د - شقة 1</t>
  </si>
  <si>
    <t>01552900354</t>
  </si>
  <si>
    <t>هاجر عادل</t>
  </si>
  <si>
    <t>CBC
Ferritin
TIBC
Iron</t>
  </si>
  <si>
    <t>عمارات النصر مجاورة ١٤ بلوك ٢٩ عمارة ٢شقة ١</t>
  </si>
  <si>
    <t>2026-06-02</t>
  </si>
  <si>
    <t>01110246270</t>
  </si>
  <si>
    <t>رئيفة محمود</t>
  </si>
  <si>
    <t>CBC
Ferritin
PT
URINE EXAMIN</t>
  </si>
  <si>
    <t xml:space="preserve"> الحي 4 - المجاورة السابعة عمارة ١٤٥٢ دور الأخير شقة يمين</t>
  </si>
  <si>
    <t>2026-06-03</t>
  </si>
  <si>
    <t>01129991123</t>
  </si>
  <si>
    <t>صابرين احمد</t>
  </si>
  <si>
    <t xml:space="preserve">  الحي الثالث - 6 اكتوبر - مجاورة 8 - عمارة 1799 فيلا الايمان الدور الارضي
</t>
  </si>
  <si>
    <t>2026-06-06</t>
  </si>
  <si>
    <t>01222531398</t>
  </si>
  <si>
    <t>نهلة حمدي امين</t>
  </si>
  <si>
    <t>طريق الواحات - كمبوند الروضة - فيلا الشبراوي</t>
  </si>
  <si>
    <t>2026-06-07</t>
  </si>
  <si>
    <t>01009944484</t>
  </si>
  <si>
    <t>احمد محمد عبد الخالق</t>
  </si>
  <si>
    <t>Cholesterol
HDL
LDL
Triglycerides</t>
  </si>
  <si>
    <t>الحي الثاني - مجاورة 7 - عمارة 1763 - الدور الأول - شقة 6</t>
  </si>
  <si>
    <t>ايه جمال</t>
  </si>
  <si>
    <t>2026-06-09</t>
  </si>
  <si>
    <t>01031711982</t>
  </si>
  <si>
    <t>رندة محمد</t>
  </si>
  <si>
    <t>Full check Up لفردين</t>
  </si>
  <si>
    <t>أبو رواش - مدخل الكيلو 26 - بجوار مسجد ال الغول</t>
  </si>
  <si>
    <t>2026-06-10</t>
  </si>
  <si>
    <t>01065951842</t>
  </si>
  <si>
    <t>مريم عبد الجواد الغول</t>
  </si>
  <si>
    <t>Full check up</t>
  </si>
  <si>
    <t xml:space="preserve">الشيخ زايد - الحي الثامن - مجاورة 3 - فيلا 69
</t>
  </si>
  <si>
    <t>01011719304</t>
  </si>
  <si>
    <t>سارة ابو بكر</t>
  </si>
  <si>
    <t>hba1c
triglys
uric</t>
  </si>
  <si>
    <t>الشماليات  - 2000 قطعة عمارة 1951 - شقة 3</t>
  </si>
  <si>
    <t>01032864949</t>
  </si>
  <si>
    <t>نهي ابراهيم</t>
  </si>
  <si>
    <t xml:space="preserve">: كمبوند واحة المهندسين- عمارة 16 ج شقة 4
</t>
  </si>
  <si>
    <t>محمد شفيق</t>
  </si>
  <si>
    <t>2026-06-11</t>
  </si>
  <si>
    <t>01101525915</t>
  </si>
  <si>
    <t>نور مصطفي</t>
  </si>
  <si>
    <t>VITAMIN d</t>
  </si>
  <si>
    <t xml:space="preserve">الحي الاول - مجاورة 1 - عمارة 22 - شقة </t>
  </si>
  <si>
    <t>2026-06-15</t>
  </si>
  <si>
    <t>01019156765</t>
  </si>
  <si>
    <t>فدوة مازن</t>
  </si>
  <si>
    <t>PT — 180 جنيه</t>
  </si>
  <si>
    <t>حدايق اكتوبر كومباوند صن كابيتال c83 شقه 15 بوابه 4</t>
  </si>
  <si>
    <t>01555243388</t>
  </si>
  <si>
    <t>اليكسندر محمد</t>
  </si>
  <si>
    <t>pregnancy test</t>
  </si>
  <si>
    <t>سكن مصر اكتوبر الجديده عماره ٩٣ شقه ١٤</t>
  </si>
  <si>
    <t>01283237335</t>
  </si>
  <si>
    <t>ايه سمير</t>
  </si>
  <si>
    <t>FULL Check up</t>
  </si>
  <si>
    <t>طريق مصر اسكندرية - الكيلو 2.5 - مدخل ابو رواش المنصورية</t>
  </si>
  <si>
    <t>2026-06-16</t>
  </si>
  <si>
    <t>01100559045</t>
  </si>
  <si>
    <t>فتحي عبد السميع الغول</t>
  </si>
  <si>
    <t>حي البشاير - عمارة 55 - شقة 102</t>
  </si>
  <si>
    <t>01020377211</t>
  </si>
  <si>
    <t>اماني عبد الرحمن</t>
  </si>
  <si>
    <t>lipid
HBA1C</t>
  </si>
  <si>
    <t>الحى 2 قطعه 1430 الدور5 شقه 60</t>
  </si>
  <si>
    <t>+20 10 31345392</t>
  </si>
  <si>
    <t>حوا محمد  نور</t>
  </si>
  <si>
    <t>الحى الخامس ميدان فودافون عند بنك البركة الشارع اللي جانبة عمارة ١٩٩ شقة ١١ الدور الخامس</t>
  </si>
  <si>
    <t>01119088023</t>
  </si>
  <si>
    <t>زوجة سامح السيد</t>
  </si>
  <si>
    <t>الحي الخامس مجاوره تانيه عماره ٨١ شقه٩ الدور رابع</t>
  </si>
  <si>
    <t>01055333724</t>
  </si>
  <si>
    <t>نجمه</t>
  </si>
  <si>
    <t>urea
creat
na
k</t>
  </si>
  <si>
    <t xml:space="preserve">عماره 852 الحى 2 </t>
  </si>
  <si>
    <t>+20 11 13131398</t>
  </si>
  <si>
    <t>طارق ابراهيم</t>
  </si>
  <si>
    <t>cbc
urea
creat
ast
alt
hcv
hbs
hiv</t>
  </si>
  <si>
    <t>الحى11 ع رقم 1 مج 4 شقه 1</t>
  </si>
  <si>
    <t>01124535793</t>
  </si>
  <si>
    <t>سلامه فرحات</t>
  </si>
  <si>
    <t>HbA1C — 400 جنيه
FBG — 120 جنيه
PPBG — 100 جنيه</t>
  </si>
  <si>
    <t>الحى الأول مج 5 
عماره 1080
شقه 1</t>
  </si>
  <si>
    <t>2026-06-17</t>
  </si>
  <si>
    <t>01099410683</t>
  </si>
  <si>
    <t xml:space="preserve">الحاجه عزه </t>
  </si>
  <si>
    <t>FSH
LH
Iron
Vit. D3
Ferritin
HOMA IR
HbA1C</t>
  </si>
  <si>
    <t xml:space="preserve">الاتحاد التعاوني بالقرب من مسجد الكوثر فوق الشرقاوي بلاست </t>
  </si>
  <si>
    <t>2026-06-19</t>
  </si>
  <si>
    <t>+971 58 823 0994</t>
  </si>
  <si>
    <t>موزه عبد المرضى عبد الفتاح</t>
  </si>
  <si>
    <t>2026-06-20</t>
  </si>
  <si>
    <t>مجدولة</t>
  </si>
  <si>
    <t>CREAT
HBA1C
PSAT</t>
  </si>
  <si>
    <t>غرب سوميد المجاورة الثامنه 
بلوك ١٥/١٠ فيلا 12</t>
  </si>
  <si>
    <t>+20 10 27509088</t>
  </si>
  <si>
    <t>عمار محمد</t>
  </si>
  <si>
    <t xml:space="preserve">الحي الخامس - عقد ثاني - عمارة 900 - حضانة ABC </t>
  </si>
  <si>
    <t>2026-06-21</t>
  </si>
  <si>
    <t>01113937111</t>
  </si>
  <si>
    <t>نجوي احمد ابو النصر</t>
  </si>
  <si>
    <t>Iron (Serum) — 320 جنيه
Ferritin — 400 جنيه
TIBC — 440 جنيه
CBC — 400 جنيه</t>
  </si>
  <si>
    <t>الشيخ زايد- كمبوند زايد 2000- عمارة 408 - الدور الرابع - شقة 10</t>
  </si>
  <si>
    <t>01008443434</t>
  </si>
  <si>
    <t>اماندا فاروق</t>
  </si>
  <si>
    <t>27 زيارة</t>
  </si>
  <si>
    <t>الإجمالي الكلي</t>
  </si>
  <si>
    <t>📊 ملخص الأطباء — بدل الزيارات</t>
  </si>
  <si>
    <t>م</t>
  </si>
  <si>
    <t>اسم الدكتور</t>
  </si>
  <si>
    <t>عدد الزيارات</t>
  </si>
  <si>
    <t>إجمالي بعد الخصم</t>
  </si>
  <si>
    <t>بدل الزيارة (5%)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</si>
</sst>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ج&quot;"/>
    <numFmt numFmtId="165" formatCode="#,##0.##\ &quot;ج&quot;"/>
  </numFmts>
  <fonts count="7">
    <font>
      <sz val="11"/>
      <color theme="1"/>
      <name val="Calibri"/>
      <family val="2"/>
      <scheme val="minor"/>
    </font>
    <font>
      <b/>
      <sz val="14"/>
      <color rgb="FFFFFFFF"/>
      <name val="Cairo"/>
    </font>
    <font>
      <b/>
      <sz val="10"/>
      <color rgb="FFFF6B00"/>
      <name val="Cairo"/>
    </font>
    <font>
      <b/>
      <sz val="11"/>
      <color rgb="FFFFFFFF"/>
      <name val="Cairo"/>
    </font>
    <font>
      <sz val="10"/>
      <name val="Cairo"/>
    </font>
    <font>
      <b/>
      <sz val="12"/>
      <color rgb="FFFFFFFF"/>
      <name val="Cairo"/>
    </font>
    <font>
      <sz val="11"/>
      <name val="Cairo"/>
    </font>
  </fonts>
  <fills count="9">
    <fill>
      <patternFill patternType="none"/>
    </fill>
    <fill>
      <patternFill patternType="gray125"/>
    </fill>
    <fill>
      <patternFill patternType="solid">
        <fgColor rgb="FFFF6B00"/>
      </patternFill>
    </fill>
    <fill>
      <patternFill patternType="solid">
        <fgColor rgb="FFFFF3E8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FFBB80"/>
      </left>
      <right style="thin">
        <color rgb="FFFFBB80"/>
      </right>
      <top style="thin">
        <color rgb="FFFFBB80"/>
      </top>
      <bottom style="thin">
        <color rgb="FFFFBB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horizontal="right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right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right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rightToLeft="1" tabSelected="1" topLeftCell="C1" workbookViewId="0">
      <pane ySplit="3" topLeftCell="A4" activePane="bottomLeft" state="frozen"/>
      <selection pane="bottomLeft" sqref="A1:K38"/>
    </sheetView>
  </sheetViews>
  <sheetFormatPr defaultRowHeight="15"/>
  <cols>
    <col min="1" max="1" width="10" customWidth="1"/>
    <col min="2" max="2" width="18" customWidth="1"/>
    <col min="3" max="3" width="14" customWidth="1"/>
    <col min="4" max="4" width="12.140625" customWidth="1"/>
    <col min="5" max="5" width="12.5703125" customWidth="1"/>
    <col min="6" max="6" width="18.7109375" customWidth="1"/>
    <col min="7" max="7" width="32" customWidth="1"/>
    <col min="8" max="8" width="9.5703125" customWidth="1"/>
    <col min="9" max="9" width="13" customWidth="1"/>
    <col min="10" max="10" width="15" customWidth="1"/>
    <col min="11" max="11" width="20" customWidth="1"/>
  </cols>
  <sheetData>
    <row r="1" spans="1:11" ht="38.1" customHeight="1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21.95" customHeight="1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1.95" customHeight="1">
      <c r="A4" s="2" t="s">
        <v>13</v>
      </c>
      <c r="B4" s="3">
        <v>2020</v>
      </c>
      <c r="C4" s="3">
        <v>70</v>
      </c>
      <c r="D4" s="3">
        <v>1950</v>
      </c>
      <c r="E4" s="3">
        <v>2280</v>
      </c>
      <c r="F4" s="4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</row>
    <row r="5" spans="1:11" ht="21.95" customHeight="1">
      <c r="A5" s="2" t="s">
        <v>13</v>
      </c>
      <c r="B5" s="3">
        <v>1700</v>
      </c>
      <c r="C5" s="3">
        <v>100</v>
      </c>
      <c r="D5" s="3">
        <v>1600</v>
      </c>
      <c r="E5" s="3">
        <v>2250</v>
      </c>
      <c r="F5" s="4" t="s">
        <v>20</v>
      </c>
      <c r="G5" s="2" t="s">
        <v>21</v>
      </c>
      <c r="H5" s="2" t="s">
        <v>16</v>
      </c>
      <c r="I5" s="2" t="s">
        <v>17</v>
      </c>
      <c r="J5" s="2" t="s">
        <v>22</v>
      </c>
      <c r="K5" s="2" t="s">
        <v>23</v>
      </c>
    </row>
    <row r="6" spans="1:11" ht="21.95" customHeight="1">
      <c r="A6" s="2" t="s">
        <v>13</v>
      </c>
      <c r="B6" s="3">
        <v>1400</v>
      </c>
      <c r="C6" s="3">
        <v>100</v>
      </c>
      <c r="D6" s="3">
        <v>1300</v>
      </c>
      <c r="E6" s="3">
        <v>1560</v>
      </c>
      <c r="F6" s="4" t="s">
        <v>24</v>
      </c>
      <c r="G6" s="2" t="s">
        <v>25</v>
      </c>
      <c r="H6" s="2" t="s">
        <v>16</v>
      </c>
      <c r="I6" s="2" t="s">
        <v>26</v>
      </c>
      <c r="J6" s="2" t="s">
        <v>27</v>
      </c>
      <c r="K6" s="2" t="s">
        <v>28</v>
      </c>
    </row>
    <row r="7" spans="1:11" ht="21.95" customHeight="1">
      <c r="A7" s="2" t="s">
        <v>13</v>
      </c>
      <c r="B7" s="3">
        <v>1000</v>
      </c>
      <c r="C7" s="3">
        <v>100</v>
      </c>
      <c r="D7" s="3">
        <v>900</v>
      </c>
      <c r="E7" s="3">
        <v>1100</v>
      </c>
      <c r="F7" s="4" t="s">
        <v>29</v>
      </c>
      <c r="G7" s="2" t="s">
        <v>30</v>
      </c>
      <c r="H7" s="2" t="s">
        <v>16</v>
      </c>
      <c r="I7" s="2" t="s">
        <v>31</v>
      </c>
      <c r="J7" s="2" t="s">
        <v>32</v>
      </c>
      <c r="K7" s="2" t="s">
        <v>33</v>
      </c>
    </row>
    <row r="8" spans="1:11" ht="21.95" customHeight="1">
      <c r="A8" s="2" t="s">
        <v>13</v>
      </c>
      <c r="B8" s="3">
        <v>1700</v>
      </c>
      <c r="C8" s="3">
        <v>100</v>
      </c>
      <c r="D8" s="3">
        <v>1600</v>
      </c>
      <c r="E8" s="3">
        <v>1980</v>
      </c>
      <c r="F8" s="4" t="s">
        <v>20</v>
      </c>
      <c r="G8" s="2" t="s">
        <v>34</v>
      </c>
      <c r="H8" s="2" t="s">
        <v>16</v>
      </c>
      <c r="I8" s="2" t="s">
        <v>35</v>
      </c>
      <c r="J8" s="2" t="s">
        <v>36</v>
      </c>
      <c r="K8" s="2" t="s">
        <v>37</v>
      </c>
    </row>
    <row r="9" spans="1:11" ht="21.95" customHeight="1">
      <c r="A9" s="2" t="s">
        <v>13</v>
      </c>
      <c r="B9" s="3">
        <v>2150</v>
      </c>
      <c r="C9" s="3">
        <v>200</v>
      </c>
      <c r="D9" s="3">
        <v>1950</v>
      </c>
      <c r="E9" s="3">
        <v>2320</v>
      </c>
      <c r="F9" s="4" t="s">
        <v>20</v>
      </c>
      <c r="G9" s="2" t="s">
        <v>38</v>
      </c>
      <c r="H9" s="2" t="s">
        <v>16</v>
      </c>
      <c r="I9" s="2" t="s">
        <v>39</v>
      </c>
      <c r="J9" s="2" t="s">
        <v>40</v>
      </c>
      <c r="K9" s="2" t="s">
        <v>41</v>
      </c>
    </row>
    <row r="10" spans="1:11" ht="21.95" customHeight="1">
      <c r="A10" s="2" t="s">
        <v>13</v>
      </c>
      <c r="B10" s="3">
        <v>700</v>
      </c>
      <c r="C10" s="3">
        <v>100</v>
      </c>
      <c r="D10" s="3">
        <v>600</v>
      </c>
      <c r="E10" s="3">
        <v>700</v>
      </c>
      <c r="F10" s="4" t="s">
        <v>42</v>
      </c>
      <c r="G10" s="2" t="s">
        <v>43</v>
      </c>
      <c r="H10" s="2" t="s">
        <v>44</v>
      </c>
      <c r="I10" s="2" t="s">
        <v>45</v>
      </c>
      <c r="J10" s="2" t="s">
        <v>46</v>
      </c>
      <c r="K10" s="2" t="s">
        <v>47</v>
      </c>
    </row>
    <row r="11" spans="1:11" ht="21.95" customHeight="1">
      <c r="A11" s="2" t="s">
        <v>13</v>
      </c>
      <c r="B11" s="3">
        <v>9865</v>
      </c>
      <c r="C11" s="3">
        <v>350</v>
      </c>
      <c r="D11" s="3">
        <v>9515</v>
      </c>
      <c r="E11" s="3">
        <v>10620</v>
      </c>
      <c r="F11" s="4" t="s">
        <v>48</v>
      </c>
      <c r="G11" s="2" t="s">
        <v>49</v>
      </c>
      <c r="H11" s="2" t="s">
        <v>16</v>
      </c>
      <c r="I11" s="2" t="s">
        <v>50</v>
      </c>
      <c r="J11" s="2" t="s">
        <v>51</v>
      </c>
      <c r="K11" s="2" t="s">
        <v>52</v>
      </c>
    </row>
    <row r="12" spans="1:11" ht="21.95" customHeight="1">
      <c r="A12" s="2" t="s">
        <v>13</v>
      </c>
      <c r="B12" s="3">
        <v>5600</v>
      </c>
      <c r="C12" s="3">
        <v>200</v>
      </c>
      <c r="D12" s="3">
        <v>5400</v>
      </c>
      <c r="E12" s="3">
        <v>7800</v>
      </c>
      <c r="F12" s="4" t="s">
        <v>53</v>
      </c>
      <c r="G12" s="2" t="s">
        <v>54</v>
      </c>
      <c r="H12" s="2" t="s">
        <v>16</v>
      </c>
      <c r="I12" s="2" t="s">
        <v>50</v>
      </c>
      <c r="J12" s="2" t="s">
        <v>55</v>
      </c>
      <c r="K12" s="2" t="s">
        <v>56</v>
      </c>
    </row>
    <row r="13" spans="1:11" ht="21.95" customHeight="1">
      <c r="A13" s="2" t="s">
        <v>13</v>
      </c>
      <c r="B13" s="3">
        <v>1130</v>
      </c>
      <c r="C13" s="3">
        <v>100</v>
      </c>
      <c r="D13" s="3">
        <v>1030</v>
      </c>
      <c r="E13" s="3">
        <v>1180</v>
      </c>
      <c r="F13" s="4" t="s">
        <v>57</v>
      </c>
      <c r="G13" s="2" t="s">
        <v>58</v>
      </c>
      <c r="H13" s="2" t="s">
        <v>16</v>
      </c>
      <c r="I13" s="2" t="s">
        <v>50</v>
      </c>
      <c r="J13" s="2" t="s">
        <v>59</v>
      </c>
      <c r="K13" s="2" t="s">
        <v>60</v>
      </c>
    </row>
    <row r="14" spans="1:11" ht="21.95" customHeight="1">
      <c r="A14" s="2" t="s">
        <v>13</v>
      </c>
      <c r="B14" s="3">
        <v>5550</v>
      </c>
      <c r="C14" s="3">
        <v>100</v>
      </c>
      <c r="D14" s="3">
        <v>5450</v>
      </c>
      <c r="E14" s="3">
        <v>7360</v>
      </c>
      <c r="F14" s="4"/>
      <c r="G14" s="2" t="s">
        <v>61</v>
      </c>
      <c r="H14" s="2" t="s">
        <v>62</v>
      </c>
      <c r="I14" s="2" t="s">
        <v>63</v>
      </c>
      <c r="J14" s="2" t="s">
        <v>64</v>
      </c>
      <c r="K14" s="2" t="s">
        <v>65</v>
      </c>
    </row>
    <row r="15" spans="1:11" ht="21.95" customHeight="1">
      <c r="A15" s="2" t="s">
        <v>13</v>
      </c>
      <c r="B15" s="3">
        <v>400</v>
      </c>
      <c r="C15" s="3">
        <v>100</v>
      </c>
      <c r="D15" s="3">
        <v>300</v>
      </c>
      <c r="E15" s="3">
        <v>400</v>
      </c>
      <c r="F15" s="4" t="s">
        <v>66</v>
      </c>
      <c r="G15" s="2" t="s">
        <v>67</v>
      </c>
      <c r="H15" s="2" t="s">
        <v>16</v>
      </c>
      <c r="I15" s="2" t="s">
        <v>68</v>
      </c>
      <c r="J15" s="2" t="s">
        <v>69</v>
      </c>
      <c r="K15" s="2" t="s">
        <v>70</v>
      </c>
    </row>
    <row r="16" spans="1:11" ht="21.95" customHeight="1">
      <c r="A16" s="2" t="s">
        <v>13</v>
      </c>
      <c r="B16" s="3">
        <v>580</v>
      </c>
      <c r="C16" s="3">
        <v>400</v>
      </c>
      <c r="D16" s="3">
        <v>180</v>
      </c>
      <c r="E16" s="3">
        <v>180</v>
      </c>
      <c r="F16" s="4" t="s">
        <v>71</v>
      </c>
      <c r="G16" s="2" t="s">
        <v>72</v>
      </c>
      <c r="H16" s="2" t="s">
        <v>16</v>
      </c>
      <c r="I16" s="2" t="s">
        <v>68</v>
      </c>
      <c r="J16" s="2" t="s">
        <v>73</v>
      </c>
      <c r="K16" s="2" t="s">
        <v>74</v>
      </c>
    </row>
    <row r="17" spans="1:11" ht="21.95" customHeight="1">
      <c r="A17" s="2" t="s">
        <v>13</v>
      </c>
      <c r="B17" s="3">
        <v>320</v>
      </c>
      <c r="C17" s="3">
        <v>150</v>
      </c>
      <c r="D17" s="3">
        <v>170</v>
      </c>
      <c r="E17" s="3">
        <v>170</v>
      </c>
      <c r="F17" s="4" t="s">
        <v>75</v>
      </c>
      <c r="G17" s="2" t="s">
        <v>76</v>
      </c>
      <c r="H17" s="2" t="s">
        <v>62</v>
      </c>
      <c r="I17" s="2" t="s">
        <v>68</v>
      </c>
      <c r="J17" s="2" t="s">
        <v>77</v>
      </c>
      <c r="K17" s="2" t="s">
        <v>78</v>
      </c>
    </row>
    <row r="18" spans="1:11" ht="21.95" customHeight="1">
      <c r="A18" s="2" t="s">
        <v>13</v>
      </c>
      <c r="B18" s="3">
        <v>4600</v>
      </c>
      <c r="C18" s="3">
        <v>400</v>
      </c>
      <c r="D18" s="3">
        <v>4200</v>
      </c>
      <c r="E18" s="3">
        <v>4600</v>
      </c>
      <c r="F18" s="4" t="s">
        <v>79</v>
      </c>
      <c r="G18" s="2" t="s">
        <v>80</v>
      </c>
      <c r="H18" s="2" t="s">
        <v>16</v>
      </c>
      <c r="I18" s="2" t="s">
        <v>81</v>
      </c>
      <c r="J18" s="2" t="s">
        <v>82</v>
      </c>
      <c r="K18" s="2" t="s">
        <v>83</v>
      </c>
    </row>
    <row r="19" spans="1:11" ht="21.95" customHeight="1">
      <c r="A19" s="2" t="s">
        <v>13</v>
      </c>
      <c r="B19" s="3">
        <v>3030</v>
      </c>
      <c r="C19" s="3">
        <v>130</v>
      </c>
      <c r="D19" s="3">
        <v>2900</v>
      </c>
      <c r="E19" s="3">
        <v>3400</v>
      </c>
      <c r="F19" s="4" t="s">
        <v>20</v>
      </c>
      <c r="G19" s="2" t="s">
        <v>84</v>
      </c>
      <c r="H19" s="2" t="s">
        <v>16</v>
      </c>
      <c r="I19" s="2" t="s">
        <v>81</v>
      </c>
      <c r="J19" s="2" t="s">
        <v>85</v>
      </c>
      <c r="K19" s="2" t="s">
        <v>86</v>
      </c>
    </row>
    <row r="20" spans="1:11" ht="21.95" customHeight="1">
      <c r="A20" s="2" t="s">
        <v>13</v>
      </c>
      <c r="B20" s="3">
        <v>1035</v>
      </c>
      <c r="C20" s="3">
        <v>100</v>
      </c>
      <c r="D20" s="3">
        <v>935</v>
      </c>
      <c r="E20" s="3">
        <v>1100</v>
      </c>
      <c r="F20" s="4" t="s">
        <v>87</v>
      </c>
      <c r="G20" s="2" t="s">
        <v>88</v>
      </c>
      <c r="H20" s="2" t="s">
        <v>44</v>
      </c>
      <c r="I20" s="2" t="s">
        <v>81</v>
      </c>
      <c r="J20" s="2" t="s">
        <v>89</v>
      </c>
      <c r="K20" s="2" t="s">
        <v>90</v>
      </c>
    </row>
    <row r="21" spans="1:11" ht="21.95" customHeight="1">
      <c r="A21" s="2" t="s">
        <v>13</v>
      </c>
      <c r="B21" s="3">
        <v>2500</v>
      </c>
      <c r="C21" s="3">
        <v>300</v>
      </c>
      <c r="D21" s="3">
        <v>2200</v>
      </c>
      <c r="E21" s="3">
        <v>3300</v>
      </c>
      <c r="F21" s="4" t="s">
        <v>20</v>
      </c>
      <c r="G21" s="2" t="s">
        <v>91</v>
      </c>
      <c r="H21" s="2" t="s">
        <v>16</v>
      </c>
      <c r="I21" s="2" t="s">
        <v>81</v>
      </c>
      <c r="J21" s="2" t="s">
        <v>92</v>
      </c>
      <c r="K21" s="2" t="s">
        <v>93</v>
      </c>
    </row>
    <row r="22" spans="1:11" ht="21.95" customHeight="1">
      <c r="A22" s="2" t="s">
        <v>13</v>
      </c>
      <c r="B22" s="3">
        <v>4030</v>
      </c>
      <c r="C22" s="3">
        <v>130</v>
      </c>
      <c r="D22" s="3">
        <v>3900</v>
      </c>
      <c r="E22" s="3">
        <v>4600</v>
      </c>
      <c r="F22" s="4"/>
      <c r="G22" s="2" t="s">
        <v>94</v>
      </c>
      <c r="H22" s="2" t="s">
        <v>16</v>
      </c>
      <c r="I22" s="2" t="s">
        <v>81</v>
      </c>
      <c r="J22" s="2" t="s">
        <v>95</v>
      </c>
      <c r="K22" s="2" t="s">
        <v>96</v>
      </c>
    </row>
    <row r="23" spans="1:11" ht="21.95" customHeight="1">
      <c r="A23" s="2" t="s">
        <v>13</v>
      </c>
      <c r="B23" s="3">
        <v>600</v>
      </c>
      <c r="C23" s="3">
        <v>100</v>
      </c>
      <c r="D23" s="3">
        <v>500</v>
      </c>
      <c r="E23" s="3">
        <v>590</v>
      </c>
      <c r="F23" s="4" t="s">
        <v>97</v>
      </c>
      <c r="G23" s="2" t="s">
        <v>98</v>
      </c>
      <c r="H23" s="2" t="s">
        <v>62</v>
      </c>
      <c r="I23" s="2" t="s">
        <v>81</v>
      </c>
      <c r="J23" s="2" t="s">
        <v>99</v>
      </c>
      <c r="K23" s="2" t="s">
        <v>100</v>
      </c>
    </row>
    <row r="24" spans="1:11" ht="21.95" customHeight="1">
      <c r="A24" s="2" t="s">
        <v>13</v>
      </c>
      <c r="B24" s="3">
        <v>2150</v>
      </c>
      <c r="C24" s="3">
        <v>110</v>
      </c>
      <c r="D24" s="3">
        <v>2040</v>
      </c>
      <c r="E24" s="3">
        <v>2400</v>
      </c>
      <c r="F24" s="4" t="s">
        <v>101</v>
      </c>
      <c r="G24" s="2" t="s">
        <v>102</v>
      </c>
      <c r="H24" s="2" t="s">
        <v>62</v>
      </c>
      <c r="I24" s="2" t="s">
        <v>81</v>
      </c>
      <c r="J24" s="2" t="s">
        <v>103</v>
      </c>
      <c r="K24" s="2" t="s">
        <v>104</v>
      </c>
    </row>
    <row r="25" spans="1:11" ht="21.95" customHeight="1">
      <c r="A25" s="2" t="s">
        <v>13</v>
      </c>
      <c r="B25" s="3">
        <v>700</v>
      </c>
      <c r="C25" s="3">
        <v>160</v>
      </c>
      <c r="D25" s="3">
        <v>540</v>
      </c>
      <c r="E25" s="3">
        <v>620</v>
      </c>
      <c r="F25" s="4" t="s">
        <v>105</v>
      </c>
      <c r="G25" s="2" t="s">
        <v>106</v>
      </c>
      <c r="H25" s="2" t="s">
        <v>16</v>
      </c>
      <c r="I25" s="2" t="s">
        <v>107</v>
      </c>
      <c r="J25" s="2" t="s">
        <v>108</v>
      </c>
      <c r="K25" s="2" t="s">
        <v>109</v>
      </c>
    </row>
    <row r="26" spans="1:11" ht="21.95" customHeight="1">
      <c r="A26" s="2" t="s">
        <v>13</v>
      </c>
      <c r="B26" s="3">
        <v>2800</v>
      </c>
      <c r="C26" s="3">
        <v>150</v>
      </c>
      <c r="D26" s="3">
        <v>2650</v>
      </c>
      <c r="E26" s="3">
        <v>3350</v>
      </c>
      <c r="F26" s="4" t="s">
        <v>110</v>
      </c>
      <c r="G26" s="2" t="s">
        <v>111</v>
      </c>
      <c r="H26" s="2" t="s">
        <v>62</v>
      </c>
      <c r="I26" s="2" t="s">
        <v>112</v>
      </c>
      <c r="J26" s="2" t="s">
        <v>113</v>
      </c>
      <c r="K26" s="2" t="s">
        <v>114</v>
      </c>
    </row>
    <row r="27" spans="1:11" ht="21.95" customHeight="1">
      <c r="A27" s="2" t="s">
        <v>13</v>
      </c>
      <c r="B27" s="3">
        <v>2700</v>
      </c>
      <c r="C27" s="3">
        <v>100</v>
      </c>
      <c r="D27" s="3">
        <v>2600</v>
      </c>
      <c r="E27" s="3">
        <v>3200</v>
      </c>
      <c r="F27" s="4" t="s">
        <v>20</v>
      </c>
      <c r="G27" s="2" t="s">
        <v>84</v>
      </c>
      <c r="H27" s="2" t="s">
        <v>16</v>
      </c>
      <c r="I27" s="2" t="s">
        <v>115</v>
      </c>
      <c r="J27" s="2" t="s">
        <v>85</v>
      </c>
      <c r="K27" s="2" t="s">
        <v>86</v>
      </c>
    </row>
    <row r="28" spans="1:11" ht="21.95" customHeight="1">
      <c r="A28" s="5" t="s">
        <v>116</v>
      </c>
      <c r="B28" s="6">
        <v>975</v>
      </c>
      <c r="C28" s="6">
        <v>150</v>
      </c>
      <c r="D28" s="6">
        <v>825</v>
      </c>
      <c r="E28" s="6">
        <v>1120</v>
      </c>
      <c r="F28" s="7" t="s">
        <v>117</v>
      </c>
      <c r="G28" s="5" t="s">
        <v>118</v>
      </c>
      <c r="H28" s="5" t="s">
        <v>62</v>
      </c>
      <c r="I28" s="5" t="s">
        <v>115</v>
      </c>
      <c r="J28" s="5" t="s">
        <v>119</v>
      </c>
      <c r="K28" s="5" t="s">
        <v>120</v>
      </c>
    </row>
    <row r="29" spans="1:11" ht="21.95" customHeight="1">
      <c r="A29" s="5" t="s">
        <v>116</v>
      </c>
      <c r="B29" s="6">
        <v>3500</v>
      </c>
      <c r="C29" s="6">
        <v>100</v>
      </c>
      <c r="D29" s="6">
        <v>3400</v>
      </c>
      <c r="E29" s="6">
        <v>4860</v>
      </c>
      <c r="F29" s="7" t="s">
        <v>20</v>
      </c>
      <c r="G29" s="5" t="s">
        <v>121</v>
      </c>
      <c r="H29" s="5" t="s">
        <v>16</v>
      </c>
      <c r="I29" s="5" t="s">
        <v>122</v>
      </c>
      <c r="J29" s="5" t="s">
        <v>123</v>
      </c>
      <c r="K29" s="5" t="s">
        <v>124</v>
      </c>
    </row>
    <row r="30" spans="1:11" ht="21.95" customHeight="1">
      <c r="A30" s="5" t="s">
        <v>116</v>
      </c>
      <c r="B30" s="6">
        <v>1450</v>
      </c>
      <c r="C30" s="6">
        <v>200</v>
      </c>
      <c r="D30" s="6">
        <v>1250</v>
      </c>
      <c r="E30" s="6">
        <v>1560</v>
      </c>
      <c r="F30" s="7" t="s">
        <v>125</v>
      </c>
      <c r="G30" s="5" t="s">
        <v>126</v>
      </c>
      <c r="H30" s="5" t="s">
        <v>16</v>
      </c>
      <c r="I30" s="5" t="s">
        <v>122</v>
      </c>
      <c r="J30" s="5" t="s">
        <v>127</v>
      </c>
      <c r="K30" s="5" t="s">
        <v>128</v>
      </c>
    </row>
    <row r="31" spans="1:11" ht="27.95" customHeight="1">
      <c r="A31" s="8" t="s">
        <v>129</v>
      </c>
      <c r="B31" s="9">
        <f>SUM(B4:B30)</f>
        <v>64185</v>
      </c>
      <c r="C31" s="9">
        <f>SUM(C4:C30)</f>
        <v>4300</v>
      </c>
      <c r="D31" s="9">
        <f>SUM(D4:D30)</f>
        <v>59885</v>
      </c>
      <c r="E31" s="9">
        <f>SUM(E4:E30)</f>
        <v>74600</v>
      </c>
      <c r="F31" s="19" t="s">
        <v>130</v>
      </c>
      <c r="G31" s="20"/>
      <c r="H31" s="20"/>
      <c r="I31" s="20"/>
      <c r="J31" s="20"/>
      <c r="K31" s="20"/>
    </row>
    <row r="32" spans="1:11" ht="15.95" customHeight="1"/>
    <row r="33" spans="1:7" ht="26.1" customHeight="1">
      <c r="A33" s="22" t="s">
        <v>131</v>
      </c>
      <c r="B33" s="20"/>
      <c r="C33" s="20"/>
      <c r="D33" s="20"/>
      <c r="E33" s="20"/>
      <c r="F33" s="20"/>
      <c r="G33" s="20"/>
    </row>
    <row r="34" spans="1:7" ht="27.95" customHeight="1">
      <c r="A34" s="10" t="s">
        <v>132</v>
      </c>
      <c r="B34" s="10" t="s">
        <v>133</v>
      </c>
      <c r="C34" s="10" t="s">
        <v>134</v>
      </c>
      <c r="D34" s="10" t="s">
        <v>135</v>
      </c>
      <c r="E34" s="10" t="s">
        <v>136</v>
      </c>
      <c r="F34" s="10" t="s">
        <v>4</v>
      </c>
      <c r="G34" s="10" t="s">
        <v>3</v>
      </c>
    </row>
    <row r="35" spans="1:7" ht="21.95" customHeight="1">
      <c r="A35" s="11">
        <v>1</v>
      </c>
      <c r="B35" s="12" t="s">
        <v>16</v>
      </c>
      <c r="C35" s="11">
        <v>19</v>
      </c>
      <c r="D35" s="13">
        <v>46715</v>
      </c>
      <c r="E35" s="13">
        <v>2335.75</v>
      </c>
      <c r="F35" s="13">
        <v>3340</v>
      </c>
      <c r="G35" s="13">
        <v>5675.75</v>
      </c>
    </row>
    <row r="36" spans="1:7" ht="21.95" customHeight="1">
      <c r="A36" s="14">
        <v>2</v>
      </c>
      <c r="B36" s="15" t="s">
        <v>62</v>
      </c>
      <c r="C36" s="14">
        <v>6</v>
      </c>
      <c r="D36" s="16">
        <v>11635</v>
      </c>
      <c r="E36" s="16">
        <v>581.75</v>
      </c>
      <c r="F36" s="16">
        <v>760</v>
      </c>
      <c r="G36" s="16">
        <v>1341.75</v>
      </c>
    </row>
    <row r="37" spans="1:7" ht="21.95" customHeight="1">
      <c r="A37" s="11">
        <v>3</v>
      </c>
      <c r="B37" s="12" t="s">
        <v>44</v>
      </c>
      <c r="C37" s="11">
        <v>2</v>
      </c>
      <c r="D37" s="13">
        <v>1535</v>
      </c>
      <c r="E37" s="13">
        <v>76.75</v>
      </c>
      <c r="F37" s="13">
        <v>200</v>
      </c>
      <c r="G37" s="13">
        <v>276.75</v>
      </c>
    </row>
    <row r="38" spans="1:7" ht="26.1" customHeight="1">
      <c r="A38" s="19" t="s">
        <v>3</v>
      </c>
      <c r="B38" s="20"/>
      <c r="C38" s="17">
        <v>27</v>
      </c>
      <c r="D38" s="18">
        <v>59885</v>
      </c>
      <c r="E38" s="18">
        <v>2994.25</v>
      </c>
      <c r="F38" s="18">
        <v>4300</v>
      </c>
      <c r="G38" s="18">
        <v>7294.25</v>
      </c>
    </row>
  </sheetData>
  <mergeCells count="5">
    <mergeCell ref="A38:B38"/>
    <mergeCell ref="F31:K31"/>
    <mergeCell ref="A2:K2"/>
    <mergeCell ref="A33:G33"/>
    <mergeCell ref="A1:K1"/>
  </mergeCells>
  <pageMargins left="0.25" right="0.25" top="0.75" bottom="0.75" header="0.3" footer="0.3"/>
  <pageSetup paperSize="9" scale="8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الزيارات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Orange Lab</cp:lastModifiedBy>
  <cp:lastPrinted>2026-06-20T18:10:21Z</cp:lastPrinted>
  <dcterms:created xsi:type="dcterms:W3CDTF">2026-06-20T18:03:01Z</dcterms:created>
  <dcterms:modified xsi:type="dcterms:W3CDTF">2026-06-20T18:12:08Z</dcterms:modified>
</cp:coreProperties>
</file>